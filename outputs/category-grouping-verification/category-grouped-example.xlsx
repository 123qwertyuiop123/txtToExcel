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  <sheet name="总计" sheetId="13" state="visible" r:id="rId13"/>
    <sheet name="分类统计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2025年支出原因占比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'分类统计'!B2</f>
            </strRef>
          </tx>
          <spPr>
            <a:ln>
              <a:prstDash val="solid"/>
            </a:ln>
          </spPr>
          <cat>
            <numRef>
              <f>'分类统计'!$A$3:$A$14</f>
            </numRef>
          </cat>
          <val>
            <numRef>
              <f>'分类统计'!$B$3:$B$14</f>
            </numRef>
          </val>
        </ser>
        <dLbls>
          <numFmt formatCode="#,##0.0"/>
          <showVal val="1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金额</a:t>
                </a:r>
              </a:p>
            </rich>
          </tx>
        </title>
        <numFmt formatCode="#,##0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2025年收入来源占比</a:t>
            </a:r>
          </a:p>
        </rich>
      </tx>
    </title>
    <plotArea>
      <pieChart>
        <varyColors val="1"/>
        <ser>
          <idx val="0"/>
          <order val="0"/>
          <tx>
            <strRef>
              <f>'分类统计'!B32</f>
            </strRef>
          </tx>
          <spPr>
            <a:ln>
              <a:prstDash val="solid"/>
            </a:ln>
          </spPr>
          <cat>
            <numRef>
              <f>'分类统计'!$A$33:$A$34</f>
            </numRef>
          </cat>
          <val>
            <numRef>
              <f>'分类统计'!$B$33:$B$34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inlineStr">
        <is>
          <t>原神:976</t>
        </is>
      </c>
      <c r="C1" s="1" t="n">
        <v>976</v>
      </c>
    </row>
    <row r="2">
      <c r="A2" s="1" t="inlineStr">
        <is>
          <t>2日:</t>
        </is>
      </c>
      <c r="B2" s="1" t="inlineStr">
        <is>
          <t>早饭:8,午饭:14.5</t>
        </is>
      </c>
      <c r="C2" s="1" t="n">
        <v>22.5</v>
      </c>
    </row>
    <row r="3">
      <c r="A3" s="1" t="inlineStr">
        <is>
          <t>3日:</t>
        </is>
      </c>
      <c r="B3" s="1" t="inlineStr">
        <is>
          <t>早饭:4.5,午饭:18,晚饭:12.8,购物:98.6</t>
        </is>
      </c>
      <c r="C3" s="1" t="n">
        <v>133.9</v>
      </c>
    </row>
    <row r="4">
      <c r="A4" s="1" t="inlineStr">
        <is>
          <t>4日:</t>
        </is>
      </c>
      <c r="B4" s="1" t="inlineStr">
        <is>
          <t>原神:30</t>
        </is>
      </c>
      <c r="C4" s="1" t="n">
        <v>30</v>
      </c>
    </row>
    <row r="5">
      <c r="A5" s="1" t="inlineStr">
        <is>
          <t>5日:</t>
        </is>
      </c>
      <c r="B5" s="1" t="inlineStr">
        <is>
          <t>生鲜:17</t>
        </is>
      </c>
      <c r="C5" s="1" t="n">
        <v>17</v>
      </c>
    </row>
    <row r="6">
      <c r="A6" s="1" t="inlineStr">
        <is>
          <t>6日:</t>
        </is>
      </c>
      <c r="B6" s="1" t="inlineStr">
        <is>
          <t>早饭:1.8,午饭:14,晚饭:12.5</t>
        </is>
      </c>
      <c r="C6" s="1" t="n">
        <v>28.3</v>
      </c>
    </row>
    <row r="7">
      <c r="A7" s="1" t="inlineStr">
        <is>
          <t>7日:</t>
        </is>
      </c>
      <c r="B7" s="1" t="inlineStr">
        <is>
          <t>早饭:4.8,午饭:15.2,晚饭:16,宽带:33.3</t>
        </is>
      </c>
      <c r="C7" s="1" t="n">
        <v>69.3</v>
      </c>
    </row>
    <row r="8">
      <c r="A8" s="1" t="inlineStr">
        <is>
          <t>8日:</t>
        </is>
      </c>
      <c r="B8" s="1" t="inlineStr">
        <is>
          <t>早饭:4.3,午饭:14</t>
        </is>
      </c>
      <c r="C8" s="1" t="n">
        <v>18.3</v>
      </c>
    </row>
    <row r="9">
      <c r="A9" s="1" t="inlineStr">
        <is>
          <t>9日:</t>
        </is>
      </c>
      <c r="B9" s="1" t="inlineStr">
        <is>
          <t>早饭:5.8,午饭:14,晚饭:13</t>
        </is>
      </c>
      <c r="C9" s="1" t="n">
        <v>32.8</v>
      </c>
    </row>
    <row r="10">
      <c r="A10" s="1" t="inlineStr">
        <is>
          <t>10日:</t>
        </is>
      </c>
      <c r="B10" s="1" t="inlineStr">
        <is>
          <t>早饭:4.3,午饭:14,晚饭:10</t>
        </is>
      </c>
      <c r="C10" s="1" t="n">
        <v>28.3</v>
      </c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inlineStr">
        <is>
          <t>生鲜:49.3</t>
        </is>
      </c>
      <c r="C12" s="1" t="n">
        <v>49.3</v>
      </c>
    </row>
    <row r="13">
      <c r="A13" s="1" t="inlineStr">
        <is>
          <t>13日:</t>
        </is>
      </c>
      <c r="B13" s="1" t="inlineStr">
        <is>
          <t>早饭:5.5,午饭:13.4,晚饭:13,妈妈:-520</t>
        </is>
      </c>
      <c r="C13" s="1" t="n">
        <v>551.9</v>
      </c>
    </row>
    <row r="14">
      <c r="A14" s="1" t="inlineStr">
        <is>
          <t>14日:</t>
        </is>
      </c>
      <c r="B14" s="1" t="inlineStr">
        <is>
          <t>早饭:5.5,午饭:17,晚饭:10,夜宵:19.9</t>
        </is>
      </c>
      <c r="C14" s="1" t="n">
        <v>52.4</v>
      </c>
    </row>
    <row r="15">
      <c r="A15" s="1" t="inlineStr">
        <is>
          <t>15日:</t>
        </is>
      </c>
      <c r="B15" s="1" t="inlineStr">
        <is>
          <t>早饭:5,午饭:16.1,晚饭:18.1,购物:21.9,夜宵:22.7</t>
        </is>
      </c>
      <c r="C15" s="1" t="n">
        <v>83.8</v>
      </c>
    </row>
    <row r="16">
      <c r="A16" s="1" t="inlineStr">
        <is>
          <t>16日:</t>
        </is>
      </c>
      <c r="B16" s="1" t="inlineStr">
        <is>
          <t>早饭:2.5,午饭:14</t>
        </is>
      </c>
      <c r="C16" s="1" t="n">
        <v>16.5</v>
      </c>
    </row>
    <row r="17">
      <c r="A17" s="1" t="inlineStr">
        <is>
          <t>17日:</t>
        </is>
      </c>
      <c r="B17" s="1" t="inlineStr">
        <is>
          <t>早饭:3.5,午饭:14,晚饭:10</t>
        </is>
      </c>
      <c r="C17" s="1" t="n">
        <v>27.5</v>
      </c>
    </row>
    <row r="18">
      <c r="A18" s="1" t="inlineStr">
        <is>
          <t>18日:</t>
        </is>
      </c>
      <c r="B18" s="1" t="inlineStr">
        <is>
          <t>kfc:60</t>
        </is>
      </c>
      <c r="C18" s="1" t="n">
        <v>60</v>
      </c>
    </row>
    <row r="19">
      <c r="A19" s="1" t="inlineStr">
        <is>
          <t>19日:</t>
        </is>
      </c>
      <c r="B19" s="1" t="inlineStr">
        <is>
          <t>kfc:69,饮料:3,裁缝:5</t>
        </is>
      </c>
      <c r="C19" s="1" t="n">
        <v>77</v>
      </c>
    </row>
    <row r="20">
      <c r="A20" s="1" t="inlineStr">
        <is>
          <t>20日:</t>
        </is>
      </c>
      <c r="B20" s="1" t="inlineStr">
        <is>
          <t>早饭:2.5,午饭:16,晚饭:15.3</t>
        </is>
      </c>
      <c r="C20" s="1" t="n">
        <v>33.8</v>
      </c>
    </row>
    <row r="21">
      <c r="A21" s="1" t="inlineStr">
        <is>
          <t>21日:</t>
        </is>
      </c>
      <c r="B21" s="1" t="inlineStr">
        <is>
          <t>早饭:4,午饭:17,晚饭:15.1</t>
        </is>
      </c>
      <c r="C21" s="1" t="n">
        <v>36.1</v>
      </c>
    </row>
    <row r="22">
      <c r="A22" s="1" t="inlineStr">
        <is>
          <t>22日:</t>
        </is>
      </c>
      <c r="B22" s="1" t="inlineStr">
        <is>
          <t>早饭:9,午饭:16.4,晚饭:11</t>
        </is>
      </c>
      <c r="C22" s="1" t="n">
        <v>36.4</v>
      </c>
    </row>
    <row r="23">
      <c r="A23" s="1" t="inlineStr">
        <is>
          <t>23日:</t>
        </is>
      </c>
      <c r="B23" s="1" t="inlineStr">
        <is>
          <t>早饭:5,午饭:16,晚饭:11,荆环:60</t>
        </is>
      </c>
      <c r="C23" s="1" t="n">
        <v>92</v>
      </c>
    </row>
    <row r="24">
      <c r="A24" s="1" t="inlineStr">
        <is>
          <t>24日:</t>
        </is>
      </c>
      <c r="B24" s="1" t="inlineStr">
        <is>
          <t>早饭:6.5,午饭:14.6</t>
        </is>
      </c>
      <c r="C24" s="1" t="n">
        <v>21.1</v>
      </c>
    </row>
    <row r="25">
      <c r="A25" s="1" t="inlineStr">
        <is>
          <t>25日:</t>
        </is>
      </c>
      <c r="B25" s="1" t="inlineStr">
        <is>
          <t>火车票:207,火车票:168,午饭:8,交通:11,晚饭:14.5</t>
        </is>
      </c>
      <c r="C25" s="1" t="n">
        <v>408.5</v>
      </c>
    </row>
    <row r="26">
      <c r="A26" s="1" t="inlineStr">
        <is>
          <t>26日:</t>
        </is>
      </c>
      <c r="B26" s="1" t="inlineStr">
        <is>
          <t>原神:68,消费:17</t>
        </is>
      </c>
      <c r="C26" s="1" t="n">
        <v>85</v>
      </c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inlineStr">
        <is>
          <t>挂号:27</t>
        </is>
      </c>
      <c r="C28" s="1" t="n">
        <v>27</v>
      </c>
    </row>
    <row r="29">
      <c r="A29" s="1" t="inlineStr">
        <is>
          <t>29日:</t>
        </is>
      </c>
      <c r="B29" s="1" t="inlineStr">
        <is>
          <t>网吧:10,购物:93.6</t>
        </is>
      </c>
      <c r="C29" s="1" t="n">
        <v>103.6</v>
      </c>
    </row>
    <row r="30">
      <c r="A30" s="1" t="inlineStr">
        <is>
          <t>30日:</t>
        </is>
      </c>
      <c r="B30" s="1" t="inlineStr">
        <is>
          <t>网吧:20,烧烤:196</t>
        </is>
      </c>
      <c r="C30" s="1" t="n">
        <v>216</v>
      </c>
    </row>
    <row r="31">
      <c r="A31" s="1" t="inlineStr">
        <is>
          <t>31日:</t>
        </is>
      </c>
      <c r="B31" s="1" t="inlineStr">
        <is>
          <t>晚饭:49.9</t>
        </is>
      </c>
      <c r="C31" s="1" t="n">
        <v>49.9</v>
      </c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父母:+600，父母:+600，工资:+17080.3，父母:+2000</t>
        </is>
      </c>
      <c r="C33" s="1">
        <f>600+600+17080.3+2000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n"/>
      <c r="B29" s="1" t="inlineStr">
        <is>
          <t>总计</t>
        </is>
      </c>
      <c r="C29" s="2">
        <f>ROUND(SUM(C1:C28),1)</f>
        <v/>
      </c>
    </row>
    <row r="30">
      <c r="A30" s="1" t="n"/>
      <c r="B30" s="1" t="inlineStr">
        <is>
          <t>收入总计</t>
        </is>
      </c>
      <c r="C30" s="1">
        <f>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</cols>
  <sheetData>
    <row r="1">
      <c r="A1" s="3" t="inlineStr">
        <is>
          <t>月份</t>
        </is>
      </c>
      <c r="B1" s="3" t="inlineStr">
        <is>
          <t>支出</t>
        </is>
      </c>
      <c r="C1" s="3" t="inlineStr">
        <is>
          <t>收入</t>
        </is>
      </c>
      <c r="D1" s="3" t="inlineStr">
        <is>
          <t>结余（收入-支出）</t>
        </is>
      </c>
    </row>
    <row r="2">
      <c r="A2" t="inlineStr">
        <is>
          <t>1月</t>
        </is>
      </c>
      <c r="B2">
        <f>'1月'!C32</f>
        <v/>
      </c>
      <c r="C2">
        <f>'1月'!C33</f>
        <v/>
      </c>
      <c r="D2">
        <f>ROUND(C2-B2,1)</f>
        <v/>
      </c>
    </row>
    <row r="3">
      <c r="A3" t="inlineStr">
        <is>
          <t>2月</t>
        </is>
      </c>
      <c r="B3">
        <f>'2月'!C29</f>
        <v/>
      </c>
      <c r="C3">
        <f>'2月'!C30</f>
        <v/>
      </c>
      <c r="D3">
        <f>ROUND(C3-B3,1)</f>
        <v/>
      </c>
    </row>
    <row r="4">
      <c r="A4" t="inlineStr">
        <is>
          <t>3月</t>
        </is>
      </c>
      <c r="B4">
        <f>'3月'!C32</f>
        <v/>
      </c>
      <c r="C4">
        <f>'3月'!C33</f>
        <v/>
      </c>
      <c r="D4">
        <f>ROUND(C4-B4,1)</f>
        <v/>
      </c>
    </row>
    <row r="5">
      <c r="A5" t="inlineStr">
        <is>
          <t>4月</t>
        </is>
      </c>
      <c r="B5">
        <f>'4月'!C31</f>
        <v/>
      </c>
      <c r="C5">
        <f>'4月'!C32</f>
        <v/>
      </c>
      <c r="D5">
        <f>ROUND(C5-B5,1)</f>
        <v/>
      </c>
    </row>
    <row r="6">
      <c r="A6" t="inlineStr">
        <is>
          <t>5月</t>
        </is>
      </c>
      <c r="B6">
        <f>'5月'!C32</f>
        <v/>
      </c>
      <c r="C6">
        <f>'5月'!C33</f>
        <v/>
      </c>
      <c r="D6">
        <f>ROUND(C6-B6,1)</f>
        <v/>
      </c>
    </row>
    <row r="7">
      <c r="A7" t="inlineStr">
        <is>
          <t>6月</t>
        </is>
      </c>
      <c r="B7">
        <f>'6月'!C31</f>
        <v/>
      </c>
      <c r="C7">
        <f>'6月'!C32</f>
        <v/>
      </c>
      <c r="D7">
        <f>ROUND(C7-B7,1)</f>
        <v/>
      </c>
    </row>
    <row r="8">
      <c r="A8" t="inlineStr">
        <is>
          <t>7月</t>
        </is>
      </c>
      <c r="B8">
        <f>'7月'!C32</f>
        <v/>
      </c>
      <c r="C8">
        <f>'7月'!C33</f>
        <v/>
      </c>
      <c r="D8">
        <f>ROUND(C8-B8,1)</f>
        <v/>
      </c>
    </row>
    <row r="9">
      <c r="A9" t="inlineStr">
        <is>
          <t>8月</t>
        </is>
      </c>
      <c r="B9">
        <f>'8月'!C32</f>
        <v/>
      </c>
      <c r="C9">
        <f>'8月'!C33</f>
        <v/>
      </c>
      <c r="D9">
        <f>ROUND(C9-B9,1)</f>
        <v/>
      </c>
    </row>
    <row r="10">
      <c r="A10" t="inlineStr">
        <is>
          <t>9月</t>
        </is>
      </c>
      <c r="B10">
        <f>'9月'!C31</f>
        <v/>
      </c>
      <c r="C10">
        <f>'9月'!C32</f>
        <v/>
      </c>
      <c r="D10">
        <f>ROUND(C10-B10,1)</f>
        <v/>
      </c>
    </row>
    <row r="11">
      <c r="A11" t="inlineStr">
        <is>
          <t>10月</t>
        </is>
      </c>
      <c r="B11">
        <f>'10月'!C32</f>
        <v/>
      </c>
      <c r="C11">
        <f>'10月'!C33</f>
        <v/>
      </c>
      <c r="D11">
        <f>ROUND(C11-B11,1)</f>
        <v/>
      </c>
    </row>
    <row r="12">
      <c r="A12" t="inlineStr">
        <is>
          <t>11月</t>
        </is>
      </c>
      <c r="B12">
        <f>'11月'!C31</f>
        <v/>
      </c>
      <c r="C12">
        <f>'11月'!C32</f>
        <v/>
      </c>
      <c r="D12">
        <f>ROUND(C12-B12,1)</f>
        <v/>
      </c>
    </row>
    <row r="13">
      <c r="A13" t="inlineStr">
        <is>
          <t>12月</t>
        </is>
      </c>
      <c r="B13">
        <f>'12月'!C32</f>
        <v/>
      </c>
      <c r="C13">
        <f>'12月'!C33</f>
        <v/>
      </c>
      <c r="D13">
        <f>ROUND(C13-B13,1)</f>
        <v/>
      </c>
    </row>
    <row r="14">
      <c r="A14" s="3" t="inlineStr">
        <is>
          <t>2025年总计</t>
        </is>
      </c>
      <c r="B14" s="3">
        <f>ROUND(SUM(B2:B13),1)</f>
        <v/>
      </c>
      <c r="C14" s="3">
        <f>ROUND(SUM(C2:C13),1)</f>
        <v/>
      </c>
      <c r="D14" s="3">
        <f>ROUND(C14-B14,1)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4" t="inlineStr">
        <is>
          <t>2025年支出原因占比</t>
        </is>
      </c>
    </row>
    <row r="2">
      <c r="A2" s="5" t="inlineStr">
        <is>
          <t>分类</t>
        </is>
      </c>
      <c r="B2" s="5" t="inlineStr">
        <is>
          <t>金额</t>
        </is>
      </c>
      <c r="C2" s="5" t="inlineStr">
        <is>
          <t>占比</t>
        </is>
      </c>
    </row>
    <row r="3">
      <c r="A3" t="inlineStr">
        <is>
          <t>游戏消费</t>
        </is>
      </c>
      <c r="B3" t="n">
        <v>1074</v>
      </c>
      <c r="C3" s="6">
        <f>IFERROR(B3/$B$15,0)</f>
        <v/>
      </c>
    </row>
    <row r="4">
      <c r="A4" t="inlineStr">
        <is>
          <t>餐饮</t>
        </is>
      </c>
      <c r="B4" t="n">
        <v>951.5</v>
      </c>
      <c r="C4" s="6">
        <f>IFERROR(B4/$B$15,0)</f>
        <v/>
      </c>
    </row>
    <row r="5">
      <c r="A5" t="inlineStr">
        <is>
          <t>妈妈</t>
        </is>
      </c>
      <c r="B5" t="n">
        <v>520</v>
      </c>
      <c r="C5" s="6">
        <f>IFERROR(B5/$B$15,0)</f>
        <v/>
      </c>
    </row>
    <row r="6">
      <c r="A6" t="inlineStr">
        <is>
          <t>交通</t>
        </is>
      </c>
      <c r="B6" t="n">
        <v>386</v>
      </c>
      <c r="C6" s="6">
        <f>IFERROR(B6/$B$15,0)</f>
        <v/>
      </c>
    </row>
    <row r="7">
      <c r="A7" t="inlineStr">
        <is>
          <t>购物</t>
        </is>
      </c>
      <c r="B7" t="n">
        <v>214.1</v>
      </c>
      <c r="C7" s="6">
        <f>IFERROR(B7/$B$15,0)</f>
        <v/>
      </c>
    </row>
    <row r="8">
      <c r="A8" t="inlineStr">
        <is>
          <t>生鲜</t>
        </is>
      </c>
      <c r="B8" t="n">
        <v>66.3</v>
      </c>
      <c r="C8" s="6">
        <f>IFERROR(B8/$B$15,0)</f>
        <v/>
      </c>
    </row>
    <row r="9">
      <c r="A9" t="inlineStr">
        <is>
          <t>荆环</t>
        </is>
      </c>
      <c r="B9" t="n">
        <v>60</v>
      </c>
      <c r="C9" s="6">
        <f>IFERROR(B9/$B$15,0)</f>
        <v/>
      </c>
    </row>
    <row r="10">
      <c r="A10" t="inlineStr">
        <is>
          <t>网络通信</t>
        </is>
      </c>
      <c r="B10" t="n">
        <v>33.3</v>
      </c>
      <c r="C10" s="6">
        <f>IFERROR(B10/$B$15,0)</f>
        <v/>
      </c>
    </row>
    <row r="11">
      <c r="A11" t="inlineStr">
        <is>
          <t>网吧</t>
        </is>
      </c>
      <c r="B11" t="n">
        <v>30</v>
      </c>
      <c r="C11" s="6">
        <f>IFERROR(B11/$B$15,0)</f>
        <v/>
      </c>
    </row>
    <row r="12">
      <c r="A12" t="inlineStr">
        <is>
          <t>医疗</t>
        </is>
      </c>
      <c r="B12" t="n">
        <v>27</v>
      </c>
      <c r="C12" s="6">
        <f>IFERROR(B12/$B$15,0)</f>
        <v/>
      </c>
    </row>
    <row r="13">
      <c r="A13" t="inlineStr">
        <is>
          <t>消费</t>
        </is>
      </c>
      <c r="B13" t="n">
        <v>17</v>
      </c>
      <c r="C13" s="6">
        <f>IFERROR(B13/$B$15,0)</f>
        <v/>
      </c>
    </row>
    <row r="14">
      <c r="A14" t="inlineStr">
        <is>
          <t>裁缝</t>
        </is>
      </c>
      <c r="B14" t="n">
        <v>5</v>
      </c>
      <c r="C14" s="6">
        <f>IFERROR(B14/$B$15,0)</f>
        <v/>
      </c>
    </row>
    <row r="15">
      <c r="A15" s="3" t="inlineStr">
        <is>
          <t>总计</t>
        </is>
      </c>
      <c r="B15" s="3">
        <f>ROUND(SUM(B3:B14),1)</f>
        <v/>
      </c>
    </row>
    <row r="31">
      <c r="A31" s="7" t="inlineStr">
        <is>
          <t>2025年收入来源占比</t>
        </is>
      </c>
    </row>
    <row r="32">
      <c r="A32" s="8" t="inlineStr">
        <is>
          <t>分类</t>
        </is>
      </c>
      <c r="B32" s="8" t="inlineStr">
        <is>
          <t>金额</t>
        </is>
      </c>
      <c r="C32" s="8" t="inlineStr">
        <is>
          <t>占比</t>
        </is>
      </c>
    </row>
    <row r="33">
      <c r="A33" t="inlineStr">
        <is>
          <t>工资</t>
        </is>
      </c>
      <c r="B33" t="n">
        <v>17080.3</v>
      </c>
      <c r="C33" s="6">
        <f>IFERROR(B33/$B$35,0)</f>
        <v/>
      </c>
    </row>
    <row r="34">
      <c r="A34" t="inlineStr">
        <is>
          <t>父母</t>
        </is>
      </c>
      <c r="B34" t="n">
        <v>3200</v>
      </c>
      <c r="C34" s="6">
        <f>IFERROR(B34/$B$35,0)</f>
        <v/>
      </c>
    </row>
    <row r="35">
      <c r="A35" s="3" t="inlineStr">
        <is>
          <t>总计</t>
        </is>
      </c>
      <c r="B35" s="3">
        <f>ROUND(SUM(B33:B34),1)</f>
        <v/>
      </c>
    </row>
  </sheetData>
  <mergeCells count="2">
    <mergeCell ref="A1:C1"/>
    <mergeCell ref="A31:C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2026-08-30T16:17:53Z</dcterms:created>
  <dcterms:modified xsi:type="dcterms:W3CDTF">2026-08-30T16:17:53Z</dcterms:modified>
</cp:coreProperties>
</file>