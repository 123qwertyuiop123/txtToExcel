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bf3c18159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月" sheetId="1" r:id="R372b6217ba624879"/>
    <x:sheet xmlns:r="http://schemas.openxmlformats.org/officeDocument/2006/relationships" name="2月" sheetId="2" r:id="Rf29bfb70105b416a"/>
    <x:sheet xmlns:r="http://schemas.openxmlformats.org/officeDocument/2006/relationships" name="3月" sheetId="3" r:id="R56852f9f26ea41b6"/>
    <x:sheet xmlns:r="http://schemas.openxmlformats.org/officeDocument/2006/relationships" name="4月" sheetId="4" r:id="R22cc21e6a7914cbb"/>
    <x:sheet xmlns:r="http://schemas.openxmlformats.org/officeDocument/2006/relationships" name="5月" sheetId="5" r:id="Rbba51e2179ff4d8d"/>
    <x:sheet xmlns:r="http://schemas.openxmlformats.org/officeDocument/2006/relationships" name="6月" sheetId="6" r:id="R5b27560b0d934c72"/>
    <x:sheet xmlns:r="http://schemas.openxmlformats.org/officeDocument/2006/relationships" name="7月" sheetId="7" r:id="R90ec5226a6414ce3"/>
    <x:sheet xmlns:r="http://schemas.openxmlformats.org/officeDocument/2006/relationships" name="8月" sheetId="8" r:id="R5484ca4354be4631"/>
    <x:sheet xmlns:r="http://schemas.openxmlformats.org/officeDocument/2006/relationships" name="9月" sheetId="9" r:id="Rb37acd00cd694f07"/>
    <x:sheet xmlns:r="http://schemas.openxmlformats.org/officeDocument/2006/relationships" name="10月" sheetId="10" r:id="R0202a3da52634f3a"/>
    <x:sheet xmlns:r="http://schemas.openxmlformats.org/officeDocument/2006/relationships" name="11月" sheetId="11" r:id="Rb95bf426caf645ea"/>
    <x:sheet xmlns:r="http://schemas.openxmlformats.org/officeDocument/2006/relationships" name="12月" sheetId="12" r:id="R5a7a3ece3e4b4646"/>
    <x:sheet xmlns:r="http://schemas.openxmlformats.org/officeDocument/2006/relationships" name="总计" sheetId="13" r:id="Rfa8f8ae7ecd1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cf2068d444ab7" /><Relationship Type="http://schemas.openxmlformats.org/officeDocument/2006/relationships/theme" Target="/xl/theme/theme1.xml" Id="R066044fee9d24ffd" /><Relationship Type="http://schemas.openxmlformats.org/officeDocument/2006/relationships/sharedStrings" Target="/xl/sharedStrings.xml" Id="Re097e2ec8c904e5a" /><Relationship Type="http://schemas.openxmlformats.org/officeDocument/2006/relationships/worksheet" Target="/xl/worksheets/sheet1.xml" Id="R372b6217ba624879" /><Relationship Type="http://schemas.openxmlformats.org/officeDocument/2006/relationships/worksheet" Target="/xl/worksheets/sheet2.xml" Id="Rf29bfb70105b416a" /><Relationship Type="http://schemas.openxmlformats.org/officeDocument/2006/relationships/worksheet" Target="/xl/worksheets/sheet3.xml" Id="R56852f9f26ea41b6" /><Relationship Type="http://schemas.openxmlformats.org/officeDocument/2006/relationships/worksheet" Target="/xl/worksheets/sheet4.xml" Id="R22cc21e6a7914cbb" /><Relationship Type="http://schemas.openxmlformats.org/officeDocument/2006/relationships/worksheet" Target="/xl/worksheets/sheet5.xml" Id="Rbba51e2179ff4d8d" /><Relationship Type="http://schemas.openxmlformats.org/officeDocument/2006/relationships/worksheet" Target="/xl/worksheets/sheet6.xml" Id="R5b27560b0d934c72" /><Relationship Type="http://schemas.openxmlformats.org/officeDocument/2006/relationships/worksheet" Target="/xl/worksheets/sheet7.xml" Id="R90ec5226a6414ce3" /><Relationship Type="http://schemas.openxmlformats.org/officeDocument/2006/relationships/worksheet" Target="/xl/worksheets/sheet8.xml" Id="R5484ca4354be4631" /><Relationship Type="http://schemas.openxmlformats.org/officeDocument/2006/relationships/worksheet" Target="/xl/worksheets/sheet9.xml" Id="Rb37acd00cd694f07" /><Relationship Type="http://schemas.openxmlformats.org/officeDocument/2006/relationships/worksheet" Target="/xl/worksheets/sheet10.xml" Id="R0202a3da52634f3a" /><Relationship Type="http://schemas.openxmlformats.org/officeDocument/2006/relationships/worksheet" Target="/xl/worksheets/sheet11.xml" Id="Rb95bf426caf645ea" /><Relationship Type="http://schemas.openxmlformats.org/officeDocument/2006/relationships/worksheet" Target="/xl/worksheets/sheet12.xml" Id="R5a7a3ece3e4b4646" /><Relationship Type="http://schemas.openxmlformats.org/officeDocument/2006/relationships/worksheet" Target="/xl/worksheets/sheet13.xml" Id="Rfa8f8ae7ecd143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 t="str">
        <x:v>原神:976</x:v>
      </x:c>
      <x:c r="C1" s="1" t="n">
        <x:v>976</x:v>
      </x:c>
    </x:row>
    <x:row r="2">
      <x:c r="A2" s="1" t="str">
        <x:v>2日:</x:v>
      </x:c>
      <x:c r="B2" s="1" t="str">
        <x:v>早饭:8,午饭:14.5</x:v>
      </x:c>
      <x:c r="C2" s="1" t="n">
        <x:v>22.5</x:v>
      </x:c>
    </x:row>
    <x:row r="3">
      <x:c r="A3" s="1" t="str">
        <x:v>3日:</x:v>
      </x:c>
      <x:c r="B3" s="1" t="str">
        <x:v>早饭:4.5,午饭:18,晚饭:12.8,购物:98.6</x:v>
      </x:c>
      <x:c r="C3" s="1" t="n">
        <x:v>133.9</x:v>
      </x:c>
    </x:row>
    <x:row r="4">
      <x:c r="A4" s="1" t="str">
        <x:v>4日:</x:v>
      </x:c>
      <x:c r="B4" s="1" t="str">
        <x:v>原神:30</x:v>
      </x:c>
      <x:c r="C4" s="1" t="n">
        <x:v>30</x:v>
      </x:c>
    </x:row>
    <x:row r="5">
      <x:c r="A5" s="1" t="str">
        <x:v>5日:</x:v>
      </x:c>
      <x:c r="B5" s="1" t="str">
        <x:v>生鲜:17</x:v>
      </x:c>
      <x:c r="C5" s="1" t="n">
        <x:v>17</x:v>
      </x:c>
    </x:row>
    <x:row r="6">
      <x:c r="A6" s="1" t="str">
        <x:v>6日:</x:v>
      </x:c>
      <x:c r="B6" s="1" t="str">
        <x:v>早饭:1.8,午饭:14,晚饭:12.5</x:v>
      </x:c>
      <x:c r="C6" s="1" t="n">
        <x:v>28.3</x:v>
      </x:c>
    </x:row>
    <x:row r="7">
      <x:c r="A7" s="1" t="str">
        <x:v>7日:</x:v>
      </x:c>
      <x:c r="B7" s="1" t="str">
        <x:v>早饭:4.8,午饭:15.2,晚饭:16,宽带:33.3</x:v>
      </x:c>
      <x:c r="C7" s="1" t="n">
        <x:v>69.3</x:v>
      </x:c>
    </x:row>
    <x:row r="8">
      <x:c r="A8" s="1" t="str">
        <x:v>8日:</x:v>
      </x:c>
      <x:c r="B8" s="1" t="str">
        <x:v>早饭:4.3,午饭:14</x:v>
      </x:c>
      <x:c r="C8" s="1" t="n">
        <x:v>18.3</x:v>
      </x:c>
    </x:row>
    <x:row r="9">
      <x:c r="A9" s="1" t="str">
        <x:v>9日:</x:v>
      </x:c>
      <x:c r="B9" s="1" t="str">
        <x:v>早饭:5.8,午饭:14,晚饭:13</x:v>
      </x:c>
      <x:c r="C9" s="1" t="n">
        <x:v>32.8</x:v>
      </x:c>
    </x:row>
    <x:row r="10">
      <x:c r="A10" s="1" t="str">
        <x:v>10日:</x:v>
      </x:c>
      <x:c r="B10" s="1" t="str">
        <x:v>早饭:4.3,午饭:14,晚饭:10</x:v>
      </x:c>
      <x:c r="C10" s="1" t="n">
        <x:v>28.3</x:v>
      </x:c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 t="str">
        <x:v>生鲜:49.3</x:v>
      </x:c>
      <x:c r="C12" s="1" t="n">
        <x:v>49.3</x:v>
      </x:c>
    </x:row>
    <x:row r="13">
      <x:c r="A13" s="1" t="str">
        <x:v>13日:</x:v>
      </x:c>
      <x:c r="B13" s="1" t="str">
        <x:v>早饭:5.5,午饭:13.4,晚饭:13,妈妈:-520</x:v>
      </x:c>
      <x:c r="C13" s="1" t="n">
        <x:v>551.9</x:v>
      </x:c>
    </x:row>
    <x:row r="14">
      <x:c r="A14" s="1" t="str">
        <x:v>14日:</x:v>
      </x:c>
      <x:c r="B14" s="1" t="str">
        <x:v>早饭:5.5,午饭:17,晚饭:10,夜宵:19.9</x:v>
      </x:c>
      <x:c r="C14" s="1" t="n">
        <x:v>52.4</x:v>
      </x:c>
    </x:row>
    <x:row r="15">
      <x:c r="A15" s="1" t="str">
        <x:v>15日:</x:v>
      </x:c>
      <x:c r="B15" s="1" t="str">
        <x:v>早饭:5,午饭:16.1,晚饭:18.1,购物:21.9,夜宵:22.7</x:v>
      </x:c>
      <x:c r="C15" s="1" t="n">
        <x:v>83.8</x:v>
      </x:c>
    </x:row>
    <x:row r="16">
      <x:c r="A16" s="1" t="str">
        <x:v>16日:</x:v>
      </x:c>
      <x:c r="B16" s="1" t="str">
        <x:v>早饭:2.5,午饭:14</x:v>
      </x:c>
      <x:c r="C16" s="1" t="n">
        <x:v>16.5</x:v>
      </x:c>
    </x:row>
    <x:row r="17">
      <x:c r="A17" s="1" t="str">
        <x:v>17日:</x:v>
      </x:c>
      <x:c r="B17" s="1" t="str">
        <x:v>早饭:3.5,午饭:14,晚饭:10</x:v>
      </x:c>
      <x:c r="C17" s="1" t="n">
        <x:v>27.5</x:v>
      </x:c>
    </x:row>
    <x:row r="18">
      <x:c r="A18" s="1" t="str">
        <x:v>18日:</x:v>
      </x:c>
      <x:c r="B18" s="1" t="str">
        <x:v>kfc:60</x:v>
      </x:c>
      <x:c r="C18" s="1" t="n">
        <x:v>60</x:v>
      </x:c>
    </x:row>
    <x:row r="19">
      <x:c r="A19" s="1" t="str">
        <x:v>19日:</x:v>
      </x:c>
      <x:c r="B19" s="1" t="str">
        <x:v>kfc:69,饮料:3,裁缝:5</x:v>
      </x:c>
      <x:c r="C19" s="1" t="n">
        <x:v>77</x:v>
      </x:c>
    </x:row>
    <x:row r="20">
      <x:c r="A20" s="1" t="str">
        <x:v>20日:</x:v>
      </x:c>
      <x:c r="B20" s="1" t="str">
        <x:v>早饭:2.5,午饭:16,晚饭:15.3</x:v>
      </x:c>
      <x:c r="C20" s="1" t="n">
        <x:v>33.8</x:v>
      </x:c>
    </x:row>
    <x:row r="21">
      <x:c r="A21" s="1" t="str">
        <x:v>21日:</x:v>
      </x:c>
      <x:c r="B21" s="1" t="str">
        <x:v>早饭:4,午饭:17,晚饭:15.1</x:v>
      </x:c>
      <x:c r="C21" s="1" t="n">
        <x:v>36.1</x:v>
      </x:c>
    </x:row>
    <x:row r="22">
      <x:c r="A22" s="1" t="str">
        <x:v>22日:</x:v>
      </x:c>
      <x:c r="B22" s="1" t="str">
        <x:v>早饭:9,午饭:16.4,晚饭:11</x:v>
      </x:c>
      <x:c r="C22" s="1" t="n">
        <x:v>36.4</x:v>
      </x:c>
    </x:row>
    <x:row r="23">
      <x:c r="A23" s="1" t="str">
        <x:v>23日:</x:v>
      </x:c>
      <x:c r="B23" s="1" t="str">
        <x:v>早饭:5,午饭:16,晚饭:11,荆环:60</x:v>
      </x:c>
      <x:c r="C23" s="1" t="n">
        <x:v>92</x:v>
      </x:c>
    </x:row>
    <x:row r="24">
      <x:c r="A24" s="1" t="str">
        <x:v>24日:</x:v>
      </x:c>
      <x:c r="B24" s="1" t="str">
        <x:v>早饭:6.5,午饭:14.6</x:v>
      </x:c>
      <x:c r="C24" s="1" t="n">
        <x:v>21.1</x:v>
      </x:c>
    </x:row>
    <x:row r="25">
      <x:c r="A25" s="1" t="str">
        <x:v>25日:</x:v>
      </x:c>
      <x:c r="B25" s="1" t="str">
        <x:v>火车票:207,火车票:168,午饭:8,交通:11,晚饭:14.5</x:v>
      </x:c>
      <x:c r="C25" s="1" t="n">
        <x:v>408.5</x:v>
      </x:c>
    </x:row>
    <x:row r="26">
      <x:c r="A26" s="1" t="str">
        <x:v>26日:</x:v>
      </x:c>
      <x:c r="B26" s="1" t="str">
        <x:v>原神:68,消费:17</x:v>
      </x:c>
      <x:c r="C26" s="1" t="n">
        <x:v>85</x:v>
      </x:c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 t="str">
        <x:v>挂号:27</x:v>
      </x:c>
      <x:c r="C28" s="1" t="n">
        <x:v>27</x:v>
      </x:c>
    </x:row>
    <x:row r="29">
      <x:c r="A29" s="1" t="str">
        <x:v>29日:</x:v>
      </x:c>
      <x:c r="B29" s="1" t="str">
        <x:v>网吧:10,购物:93.6</x:v>
      </x:c>
      <x:c r="C29" s="1" t="n">
        <x:v>103.6</x:v>
      </x:c>
    </x:row>
    <x:row r="30">
      <x:c r="A30" s="1" t="str">
        <x:v>30日:</x:v>
      </x:c>
      <x:c r="B30" s="1" t="str">
        <x:v>网吧:20,烧烤:196</x:v>
      </x:c>
      <x:c r="C30" s="1" t="n">
        <x:v>216</x:v>
      </x:c>
    </x:row>
    <x:row r="31">
      <x:c r="A31" s="1" t="str">
        <x:v>31日:</x:v>
      </x:c>
      <x:c r="B31" s="1" t="str">
        <x:v>晚饭:49.9</x:v>
      </x:c>
      <x:c r="C31" s="1" t="n">
        <x:v>49.9</x:v>
      </x:c>
    </x:row>
    <x:row r="32">
      <x:c r="A32" s="1"/>
      <x:c r="B32" s="1" t="str">
        <x:v>总计</x:v>
      </x:c>
      <x:c r="C32" s="2" t="n">
        <x:f>ROUND(SUM(C1:C31),1)</x:f>
        <x:v>3384.2</x:v>
      </x:c>
    </x:row>
    <x:row r="33">
      <x:c r="A33" s="1"/>
      <x:c r="B33" s="1" t="str">
        <x:v>父母:+600，父母:+600，工资:+17080.3，父母:+2000</x:v>
      </x:c>
      <x:c r="C33" s="1" t="n">
        <x:f>600+600+17080.3+2000</x:f>
        <x:v>20280.3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/>
      <x:c r="B29" s="1" t="str">
        <x:v>总计</x:v>
      </x:c>
      <x:c r="C29" s="2" t="n">
        <x:f>ROUND(SUM(C1:C28),1)</x:f>
        <x:v>0</x:v>
      </x:c>
    </x:row>
    <x:row r="30">
      <x:c r="A30" s="1"/>
      <x:c r="B30" s="1" t="str">
        <x:v>收入总计</x:v>
      </x:c>
      <x:c r="C30" s="1" t="n">
        <x:f>0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/>
      <x:c r="B31" s="1" t="str">
        <x:v>总计</x:v>
      </x:c>
      <x:c r="C31" s="2" t="n">
        <x:f>ROUND(SUM(C1:C30),1)</x:f>
        <x:v>0</x:v>
      </x:c>
    </x:row>
    <x:row r="32">
      <x:c r="A32" s="1"/>
      <x:c r="B32" s="1" t="str">
        <x:v>收入总计</x:v>
      </x:c>
      <x:c r="C32" s="1" t="n">
        <x:f>0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/>
      <x:c r="B31" s="1" t="str">
        <x:v>总计</x:v>
      </x:c>
      <x:c r="C31" s="2" t="n">
        <x:f>ROUND(SUM(C1:C30),1)</x:f>
        <x:v>0</x:v>
      </x:c>
    </x:row>
    <x:row r="32">
      <x:c r="A32" s="1"/>
      <x:c r="B32" s="1" t="str">
        <x:v>收入总计</x:v>
      </x:c>
      <x:c r="C32" s="1" t="n">
        <x:f>0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/>
      <x:c r="B31" s="1" t="str">
        <x:v>总计</x:v>
      </x:c>
      <x:c r="C31" s="2" t="n">
        <x:f>ROUND(SUM(C1:C30),1)</x:f>
        <x:v>0</x:v>
      </x:c>
    </x:row>
    <x:row r="32">
      <x:c r="A32" s="1"/>
      <x:c r="B32" s="1" t="str">
        <x:v>收入总计</x:v>
      </x:c>
      <x:c r="C32" s="1" t="n">
        <x:f>0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/>
      <x:c r="B31" s="1" t="str">
        <x:v>总计</x:v>
      </x:c>
      <x:c r="C31" s="2" t="n">
        <x:f>ROUND(SUM(C1:C30),1)</x:f>
        <x:v>0</x:v>
      </x:c>
    </x:row>
    <x:row r="32">
      <x:c r="A32" s="1"/>
      <x:c r="B32" s="1" t="str">
        <x:v>收入总计</x:v>
      </x:c>
      <x:c r="C32" s="1" t="n">
        <x:f>0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</x:cols>
  <x:sheetData>
    <x:row r="1">
      <x:c r="A1" s="1" t="str">
        <x:v>1日:</x:v>
      </x:c>
      <x:c r="B1" s="1"/>
      <x:c r="C1" s="1"/>
    </x:row>
    <x:row r="2">
      <x:c r="A2" s="1" t="str">
        <x:v>2日:</x:v>
      </x:c>
      <x:c r="B2" s="1"/>
      <x:c r="C2" s="1"/>
    </x:row>
    <x:row r="3">
      <x:c r="A3" s="1" t="str">
        <x:v>3日:</x:v>
      </x:c>
      <x:c r="B3" s="1"/>
      <x:c r="C3" s="1"/>
    </x:row>
    <x:row r="4">
      <x:c r="A4" s="1" t="str">
        <x:v>4日:</x:v>
      </x:c>
      <x:c r="B4" s="1"/>
      <x:c r="C4" s="1"/>
    </x:row>
    <x:row r="5">
      <x:c r="A5" s="1" t="str">
        <x:v>5日:</x:v>
      </x:c>
      <x:c r="B5" s="1"/>
      <x:c r="C5" s="1"/>
    </x:row>
    <x:row r="6">
      <x:c r="A6" s="1" t="str">
        <x:v>6日:</x:v>
      </x:c>
      <x:c r="B6" s="1"/>
      <x:c r="C6" s="1"/>
    </x:row>
    <x:row r="7">
      <x:c r="A7" s="1" t="str">
        <x:v>7日:</x:v>
      </x:c>
      <x:c r="B7" s="1"/>
      <x:c r="C7" s="1"/>
    </x:row>
    <x:row r="8">
      <x:c r="A8" s="1" t="str">
        <x:v>8日:</x:v>
      </x:c>
      <x:c r="B8" s="1"/>
      <x:c r="C8" s="1"/>
    </x:row>
    <x:row r="9">
      <x:c r="A9" s="1" t="str">
        <x:v>9日:</x:v>
      </x:c>
      <x:c r="B9" s="1"/>
      <x:c r="C9" s="1"/>
    </x:row>
    <x:row r="10">
      <x:c r="A10" s="1" t="str">
        <x:v>10日:</x:v>
      </x:c>
      <x:c r="B10" s="1"/>
      <x:c r="C10" s="1"/>
    </x:row>
    <x:row r="11">
      <x:c r="A11" s="1" t="str">
        <x:v>11日:</x:v>
      </x:c>
      <x:c r="B11" s="1"/>
      <x:c r="C11" s="1"/>
    </x:row>
    <x:row r="12">
      <x:c r="A12" s="1" t="str">
        <x:v>12日:</x:v>
      </x:c>
      <x:c r="B12" s="1"/>
      <x:c r="C12" s="1"/>
    </x:row>
    <x:row r="13">
      <x:c r="A13" s="1" t="str">
        <x:v>13日:</x:v>
      </x:c>
      <x:c r="B13" s="1"/>
      <x:c r="C13" s="1"/>
    </x:row>
    <x:row r="14">
      <x:c r="A14" s="1" t="str">
        <x:v>14日:</x:v>
      </x:c>
      <x:c r="B14" s="1"/>
      <x:c r="C14" s="1"/>
    </x:row>
    <x:row r="15">
      <x:c r="A15" s="1" t="str">
        <x:v>15日:</x:v>
      </x:c>
      <x:c r="B15" s="1"/>
      <x:c r="C15" s="1"/>
    </x:row>
    <x:row r="16">
      <x:c r="A16" s="1" t="str">
        <x:v>16日:</x:v>
      </x:c>
      <x:c r="B16" s="1"/>
      <x:c r="C16" s="1"/>
    </x:row>
    <x:row r="17">
      <x:c r="A17" s="1" t="str">
        <x:v>17日:</x:v>
      </x:c>
      <x:c r="B17" s="1"/>
      <x:c r="C17" s="1"/>
    </x:row>
    <x:row r="18">
      <x:c r="A18" s="1" t="str">
        <x:v>18日:</x:v>
      </x:c>
      <x:c r="B18" s="1"/>
      <x:c r="C18" s="1"/>
    </x:row>
    <x:row r="19">
      <x:c r="A19" s="1" t="str">
        <x:v>19日:</x:v>
      </x:c>
      <x:c r="B19" s="1"/>
      <x:c r="C19" s="1"/>
    </x:row>
    <x:row r="20">
      <x:c r="A20" s="1" t="str">
        <x:v>20日:</x:v>
      </x:c>
      <x:c r="B20" s="1"/>
      <x:c r="C20" s="1"/>
    </x:row>
    <x:row r="21">
      <x:c r="A21" s="1" t="str">
        <x:v>21日:</x:v>
      </x:c>
      <x:c r="B21" s="1"/>
      <x:c r="C21" s="1"/>
    </x:row>
    <x:row r="22">
      <x:c r="A22" s="1" t="str">
        <x:v>22日:</x:v>
      </x:c>
      <x:c r="B22" s="1"/>
      <x:c r="C22" s="1"/>
    </x:row>
    <x:row r="23">
      <x:c r="A23" s="1" t="str">
        <x:v>23日:</x:v>
      </x:c>
      <x:c r="B23" s="1"/>
      <x:c r="C23" s="1"/>
    </x:row>
    <x:row r="24">
      <x:c r="A24" s="1" t="str">
        <x:v>24日:</x:v>
      </x:c>
      <x:c r="B24" s="1"/>
      <x:c r="C24" s="1"/>
    </x:row>
    <x:row r="25">
      <x:c r="A25" s="1" t="str">
        <x:v>25日:</x:v>
      </x:c>
      <x:c r="B25" s="1"/>
      <x:c r="C25" s="1"/>
    </x:row>
    <x:row r="26">
      <x:c r="A26" s="1" t="str">
        <x:v>26日:</x:v>
      </x:c>
      <x:c r="B26" s="1"/>
      <x:c r="C26" s="1"/>
    </x:row>
    <x:row r="27">
      <x:c r="A27" s="1" t="str">
        <x:v>27日:</x:v>
      </x:c>
      <x:c r="B27" s="1"/>
      <x:c r="C27" s="1"/>
    </x:row>
    <x:row r="28">
      <x:c r="A28" s="1" t="str">
        <x:v>28日:</x:v>
      </x:c>
      <x:c r="B28" s="1"/>
      <x:c r="C28" s="1"/>
    </x:row>
    <x:row r="29">
      <x:c r="A29" s="1" t="str">
        <x:v>29日:</x:v>
      </x:c>
      <x:c r="B29" s="1"/>
      <x:c r="C29" s="1"/>
    </x:row>
    <x:row r="30">
      <x:c r="A30" s="1" t="str">
        <x:v>30日:</x:v>
      </x:c>
      <x:c r="B30" s="1"/>
      <x:c r="C30" s="1"/>
    </x:row>
    <x:row r="31">
      <x:c r="A31" s="1" t="str">
        <x:v>31日:</x:v>
      </x:c>
      <x:c r="B31" s="1"/>
      <x:c r="C31" s="1"/>
    </x:row>
    <x:row r="32">
      <x:c r="A32" s="1"/>
      <x:c r="B32" s="1" t="str">
        <x:v>总计</x:v>
      </x:c>
      <x:c r="C32" s="2" t="n">
        <x:f>ROUND(SUM(C1:C31),1)</x:f>
        <x:v>0</x:v>
      </x:c>
    </x:row>
    <x:row r="33">
      <x:c r="A33" s="1"/>
      <x:c r="B33" s="1" t="str">
        <x:v>收入总计</x:v>
      </x:c>
      <x:c r="C33" s="1" t="n">
        <x:f>0</x:f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4" hidden="0" customWidth="1"/>
  </x:cols>
  <x:sheetData>
    <x:row r="1">
      <x:c r="A1" s="3" t="str">
        <x:v>月份</x:v>
      </x:c>
      <x:c r="B1" s="3" t="str">
        <x:v>支出</x:v>
      </x:c>
      <x:c r="C1" s="3" t="str">
        <x:v>收入</x:v>
      </x:c>
      <x:c r="D1" s="3" t="str">
        <x:v>结余（收入-支出）</x:v>
      </x:c>
    </x:row>
    <x:row r="2">
      <x:c r="A2" t="str">
        <x:v>1月</x:v>
      </x:c>
      <x:c r="B2" t="n">
        <x:f>'1月'!C32</x:f>
        <x:v>3384.2</x:v>
      </x:c>
      <x:c r="C2" t="n">
        <x:f>'1月'!C33</x:f>
        <x:v>20280.3</x:v>
      </x:c>
      <x:c r="D2" t="n">
        <x:f>ROUND(C2-B2,1)</x:f>
        <x:v>16896.1</x:v>
      </x:c>
    </x:row>
    <x:row r="3">
      <x:c r="A3" t="str">
        <x:v>2月</x:v>
      </x:c>
      <x:c r="B3" t="n">
        <x:f>'2月'!C29</x:f>
        <x:v>0</x:v>
      </x:c>
      <x:c r="C3" t="n">
        <x:f>'2月'!C30</x:f>
        <x:v>0</x:v>
      </x:c>
      <x:c r="D3" t="n">
        <x:f>ROUND(C3-B3,1)</x:f>
        <x:v>0</x:v>
      </x:c>
    </x:row>
    <x:row r="4">
      <x:c r="A4" t="str">
        <x:v>3月</x:v>
      </x:c>
      <x:c r="B4" t="n">
        <x:f>'3月'!C32</x:f>
        <x:v>0</x:v>
      </x:c>
      <x:c r="C4" t="n">
        <x:f>'3月'!C33</x:f>
        <x:v>0</x:v>
      </x:c>
      <x:c r="D4" t="n">
        <x:f>ROUND(C4-B4,1)</x:f>
        <x:v>0</x:v>
      </x:c>
    </x:row>
    <x:row r="5">
      <x:c r="A5" t="str">
        <x:v>4月</x:v>
      </x:c>
      <x:c r="B5" t="n">
        <x:f>'4月'!C31</x:f>
        <x:v>0</x:v>
      </x:c>
      <x:c r="C5" t="n">
        <x:f>'4月'!C32</x:f>
        <x:v>0</x:v>
      </x:c>
      <x:c r="D5" t="n">
        <x:f>ROUND(C5-B5,1)</x:f>
        <x:v>0</x:v>
      </x:c>
    </x:row>
    <x:row r="6">
      <x:c r="A6" t="str">
        <x:v>5月</x:v>
      </x:c>
      <x:c r="B6" t="n">
        <x:f>'5月'!C32</x:f>
        <x:v>0</x:v>
      </x:c>
      <x:c r="C6" t="n">
        <x:f>'5月'!C33</x:f>
        <x:v>0</x:v>
      </x:c>
      <x:c r="D6" t="n">
        <x:f>ROUND(C6-B6,1)</x:f>
        <x:v>0</x:v>
      </x:c>
    </x:row>
    <x:row r="7">
      <x:c r="A7" t="str">
        <x:v>6月</x:v>
      </x:c>
      <x:c r="B7" t="n">
        <x:f>'6月'!C31</x:f>
        <x:v>0</x:v>
      </x:c>
      <x:c r="C7" t="n">
        <x:f>'6月'!C32</x:f>
        <x:v>0</x:v>
      </x:c>
      <x:c r="D7" t="n">
        <x:f>ROUND(C7-B7,1)</x:f>
        <x:v>0</x:v>
      </x:c>
    </x:row>
    <x:row r="8">
      <x:c r="A8" t="str">
        <x:v>7月</x:v>
      </x:c>
      <x:c r="B8" t="n">
        <x:f>'7月'!C32</x:f>
        <x:v>0</x:v>
      </x:c>
      <x:c r="C8" t="n">
        <x:f>'7月'!C33</x:f>
        <x:v>0</x:v>
      </x:c>
      <x:c r="D8" t="n">
        <x:f>ROUND(C8-B8,1)</x:f>
        <x:v>0</x:v>
      </x:c>
    </x:row>
    <x:row r="9">
      <x:c r="A9" t="str">
        <x:v>8月</x:v>
      </x:c>
      <x:c r="B9" t="n">
        <x:f>'8月'!C32</x:f>
        <x:v>0</x:v>
      </x:c>
      <x:c r="C9" t="n">
        <x:f>'8月'!C33</x:f>
        <x:v>0</x:v>
      </x:c>
      <x:c r="D9" t="n">
        <x:f>ROUND(C9-B9,1)</x:f>
        <x:v>0</x:v>
      </x:c>
    </x:row>
    <x:row r="10">
      <x:c r="A10" t="str">
        <x:v>9月</x:v>
      </x:c>
      <x:c r="B10" t="n">
        <x:f>'9月'!C31</x:f>
        <x:v>0</x:v>
      </x:c>
      <x:c r="C10" t="n">
        <x:f>'9月'!C32</x:f>
        <x:v>0</x:v>
      </x:c>
      <x:c r="D10" t="n">
        <x:f>ROUND(C10-B10,1)</x:f>
        <x:v>0</x:v>
      </x:c>
    </x:row>
    <x:row r="11">
      <x:c r="A11" t="str">
        <x:v>10月</x:v>
      </x:c>
      <x:c r="B11" t="n">
        <x:f>'10月'!C32</x:f>
        <x:v>0</x:v>
      </x:c>
      <x:c r="C11" t="n">
        <x:f>'10月'!C33</x:f>
        <x:v>0</x:v>
      </x:c>
      <x:c r="D11" t="n">
        <x:f>ROUND(C11-B11,1)</x:f>
        <x:v>0</x:v>
      </x:c>
    </x:row>
    <x:row r="12">
      <x:c r="A12" t="str">
        <x:v>11月</x:v>
      </x:c>
      <x:c r="B12" t="n">
        <x:f>'11月'!C31</x:f>
        <x:v>0</x:v>
      </x:c>
      <x:c r="C12" t="n">
        <x:f>'11月'!C32</x:f>
        <x:v>0</x:v>
      </x:c>
      <x:c r="D12" t="n">
        <x:f>ROUND(C12-B12,1)</x:f>
        <x:v>0</x:v>
      </x:c>
    </x:row>
    <x:row r="13">
      <x:c r="A13" t="str">
        <x:v>12月</x:v>
      </x:c>
      <x:c r="B13" t="n">
        <x:f>'12月'!C32</x:f>
        <x:v>0</x:v>
      </x:c>
      <x:c r="C13" t="n">
        <x:f>'12月'!C33</x:f>
        <x:v>0</x:v>
      </x:c>
      <x:c r="D13" t="n">
        <x:f>ROUND(C13-B13,1)</x:f>
        <x:v>0</x:v>
      </x:c>
    </x:row>
    <x:row r="14">
      <x:c r="A14" s="3" t="str">
        <x:v>2025年总计</x:v>
      </x:c>
      <x:c r="B14" s="3" t="n">
        <x:f>ROUND(SUM(B2:B13),1)</x:f>
        <x:v>3384.2</x:v>
      </x:c>
      <x:c r="C14" s="3" t="n">
        <x:f>ROUND(SUM(C2:C13),1)</x:f>
        <x:v>20280.3</x:v>
      </x:c>
      <x:c r="D14" s="3" t="n">
        <x:f>ROUND(C14-B14,1)</x:f>
        <x:v>16896.1</x:v>
      </x:c>
    </x:row>
  </x:sheetData>
  <x:pageMargins left="0.7" right="0.7" top="0.75" bottom="0.75" header="0.3" footer="0.3"/>
</x:worksheet>
</file>